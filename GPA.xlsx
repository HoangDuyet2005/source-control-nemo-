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D96B8B1B-B0AC-4788-B07F-8B09FB250C91}" xr6:coauthVersionLast="45" xr6:coauthVersionMax="45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6" i="1" l="1"/>
  <c r="C45" i="1"/>
  <c r="E35" i="1"/>
  <c r="E36" i="1"/>
  <c r="E37" i="1"/>
  <c r="E33" i="1" l="1"/>
  <c r="E34" i="1" l="1"/>
  <c r="E32" i="1" l="1"/>
  <c r="E31" i="1" l="1"/>
  <c r="E26" i="1" l="1"/>
  <c r="F26" i="1" s="1"/>
  <c r="E27" i="1"/>
  <c r="E28" i="1"/>
  <c r="E29" i="1"/>
  <c r="E30" i="1"/>
  <c r="E18" i="1" l="1"/>
  <c r="E19" i="1"/>
  <c r="E17" i="1" l="1"/>
  <c r="E16" i="1"/>
  <c r="E20" i="1"/>
  <c r="E15" i="1"/>
  <c r="E14" i="1"/>
  <c r="E13" i="1"/>
  <c r="E12" i="1"/>
  <c r="E21" i="1"/>
  <c r="E22" i="1"/>
  <c r="E23" i="1"/>
  <c r="E24" i="1"/>
  <c r="E25" i="1"/>
  <c r="E38" i="1"/>
  <c r="E39" i="1"/>
  <c r="E40" i="1"/>
  <c r="E41" i="1"/>
  <c r="E42" i="1"/>
  <c r="E43" i="1"/>
  <c r="E44" i="1"/>
  <c r="E5" i="1"/>
  <c r="E4" i="1"/>
  <c r="E11" i="1"/>
  <c r="E10" i="1"/>
  <c r="E9" i="1"/>
  <c r="E8" i="1"/>
  <c r="E7" i="1"/>
  <c r="E6" i="1"/>
  <c r="E3" i="1"/>
  <c r="E2" i="1"/>
  <c r="F35" i="1" l="1"/>
  <c r="F43" i="1"/>
  <c r="I6" i="1"/>
  <c r="F18" i="1"/>
  <c r="F7" i="1"/>
  <c r="F12" i="1"/>
  <c r="F2" i="1"/>
</calcChain>
</file>

<file path=xl/sharedStrings.xml><?xml version="1.0" encoding="utf-8"?>
<sst xmlns="http://schemas.openxmlformats.org/spreadsheetml/2006/main" count="53" uniqueCount="53">
  <si>
    <t xml:space="preserve">Kì </t>
  </si>
  <si>
    <t>Học phần</t>
  </si>
  <si>
    <t xml:space="preserve">Số tín chỉ </t>
  </si>
  <si>
    <t xml:space="preserve">Điểm  </t>
  </si>
  <si>
    <t>Hệ số điểm tín</t>
  </si>
  <si>
    <t>Điểm tích lũy theo kỳ</t>
  </si>
  <si>
    <t>Giải tích</t>
  </si>
  <si>
    <t xml:space="preserve">Nhập môn về kỹ thuật </t>
  </si>
  <si>
    <t>Triết học Mac-Lenin</t>
  </si>
  <si>
    <t>Điểm tích lũy:</t>
  </si>
  <si>
    <t>Kinh tế chính trị Mac-Lenin</t>
  </si>
  <si>
    <t>Đại số tuyến tính</t>
  </si>
  <si>
    <t>Chủ nghĩa xã hội khoa học</t>
  </si>
  <si>
    <t>Kiến trúc máy tính</t>
  </si>
  <si>
    <t>Kỹ thuật lập trình</t>
  </si>
  <si>
    <t>Phân tích đặc tả yêu cầu phần mềm</t>
  </si>
  <si>
    <t>Nhập môn công nghệ phần mềm</t>
  </si>
  <si>
    <t>Pháp luật đại cương</t>
  </si>
  <si>
    <t>Mạng máy tính</t>
  </si>
  <si>
    <t>Ứng dụng thuật toán</t>
  </si>
  <si>
    <t>Kiểm thử phần mềm</t>
  </si>
  <si>
    <t>Thiết kế phần mềm</t>
  </si>
  <si>
    <t>Thực tập doanh nghiệp</t>
  </si>
  <si>
    <t>Đảm bảo chất lượng phần mềm</t>
  </si>
  <si>
    <t>Đồ án tốt nghiệp</t>
  </si>
  <si>
    <t>Giao tiếp liên văn hóa</t>
  </si>
  <si>
    <t>Nhập môn NCKH</t>
  </si>
  <si>
    <t>Âm nhạc đại cương</t>
  </si>
  <si>
    <t>TRR</t>
  </si>
  <si>
    <t xml:space="preserve">OOP </t>
  </si>
  <si>
    <t>Hệ thống Cơ sở dữ liệu</t>
  </si>
  <si>
    <t>CTDL&amp;GT</t>
  </si>
  <si>
    <t>XSTK</t>
  </si>
  <si>
    <t>AI</t>
  </si>
  <si>
    <t>Java</t>
  </si>
  <si>
    <t>Web</t>
  </si>
  <si>
    <t>Mục tiêu GPA từ 3.6</t>
  </si>
  <si>
    <t>Phát triển PM hướng dịch vụ</t>
  </si>
  <si>
    <t>Thực tập cơ sở ngành</t>
  </si>
  <si>
    <t>Phát triển ứng dụng TMĐT</t>
  </si>
  <si>
    <t>Lập trình .NET</t>
  </si>
  <si>
    <t>Tương tác người máy</t>
  </si>
  <si>
    <t>Lịch sử đảng</t>
  </si>
  <si>
    <t>Tư tưởng HCM</t>
  </si>
  <si>
    <t>Lập trình Python cơ bản</t>
  </si>
  <si>
    <t>Quản lí dự án CNTT</t>
  </si>
  <si>
    <t>Một số công nghệ phát triển PM</t>
  </si>
  <si>
    <t>Phân tích dữ liệu lớn</t>
  </si>
  <si>
    <t>Java nâng cao</t>
  </si>
  <si>
    <t>Đồ án chuyên ngành</t>
  </si>
  <si>
    <t>Phát triển UD trên thiết bị di động</t>
  </si>
  <si>
    <t>Tổng số tín chỉ</t>
  </si>
  <si>
    <t>Còn lại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</si>
</sst>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BF7"/>
        <bgColor rgb="FFEDEDED"/>
      </patternFill>
    </fill>
    <fill>
      <patternFill patternType="solid">
        <fgColor rgb="FFBDD7EE"/>
        <bgColor rgb="FFC5E0B4"/>
      </patternFill>
    </fill>
    <fill>
      <patternFill patternType="solid">
        <fgColor rgb="FF9DC3E6"/>
        <bgColor rgb="FFBDD7EE"/>
      </patternFill>
    </fill>
    <fill>
      <patternFill patternType="solid">
        <fgColor rgb="FFE2F0D9"/>
        <bgColor rgb="FFEDEDED"/>
      </patternFill>
    </fill>
    <fill>
      <patternFill patternType="solid">
        <fgColor rgb="FFC5E0B4"/>
        <bgColor rgb="FFBDD7EE"/>
      </patternFill>
    </fill>
    <fill>
      <patternFill patternType="solid">
        <fgColor rgb="FFFFE699"/>
        <bgColor rgb="FFFFCC99"/>
      </patternFill>
    </fill>
    <fill>
      <patternFill patternType="solid">
        <fgColor rgb="FFEDEDED"/>
        <bgColor rgb="FFDEEBF7"/>
      </patternFill>
    </fill>
    <fill>
      <patternFill patternType="solid">
        <fgColor theme="9" tint="0.59999389629810485"/>
        <bgColor rgb="FFEDEDED"/>
      </patternFill>
    </fill>
    <fill>
      <patternFill patternType="solid">
        <fgColor theme="0" tint="-4.9989318521683403E-2"/>
        <bgColor rgb="FFFFCC99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0" fillId="6" borderId="1" xfId="0" applyFont="1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0" fontId="0" fillId="8" borderId="1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left"/>
    </xf>
    <xf numFmtId="0" fontId="0" fillId="4" borderId="1" xfId="0" applyFont="1" applyFill="1" applyBorder="1" applyAlignment="1">
      <alignment horizontal="left"/>
    </xf>
    <xf numFmtId="0" fontId="0" fillId="5" borderId="1" xfId="0" applyFont="1" applyFill="1" applyBorder="1" applyAlignment="1">
      <alignment horizontal="left"/>
    </xf>
    <xf numFmtId="0" fontId="0" fillId="6" borderId="1" xfId="0" applyFont="1" applyFill="1" applyBorder="1" applyAlignment="1">
      <alignment horizontal="left"/>
    </xf>
    <xf numFmtId="0" fontId="0" fillId="7" borderId="1" xfId="0" applyFont="1" applyFill="1" applyBorder="1" applyAlignment="1">
      <alignment horizontal="left"/>
    </xf>
    <xf numFmtId="0" fontId="0" fillId="8" borderId="1" xfId="0" applyFont="1" applyFill="1" applyBorder="1" applyAlignment="1">
      <alignment horizontal="left"/>
    </xf>
    <xf numFmtId="0" fontId="0" fillId="8" borderId="1" xfId="0" applyFont="1" applyFill="1" applyBorder="1" applyAlignment="1">
      <alignment horizontal="left" vertical="center"/>
    </xf>
    <xf numFmtId="0" fontId="0" fillId="9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2" borderId="2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0" fillId="11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0" fillId="9" borderId="1" xfId="0" applyNumberForma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2" fontId="0" fillId="10" borderId="1" xfId="0" applyNumberFormat="1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2" fontId="0" fillId="8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2" fontId="0" fillId="5" borderId="4" xfId="0" applyNumberFormat="1" applyFill="1" applyBorder="1" applyAlignment="1">
      <alignment horizontal="center" vertical="center"/>
    </xf>
    <xf numFmtId="2" fontId="0" fillId="5" borderId="2" xfId="0" applyNumberFormat="1" applyFill="1" applyBorder="1" applyAlignment="1">
      <alignment horizontal="center" vertical="center"/>
    </xf>
    <xf numFmtId="2" fontId="0" fillId="5" borderId="3" xfId="0" applyNumberForma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C5E0B4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BE5D6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E6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abSelected="1" zoomScale="115" zoomScaleNormal="115" workbookViewId="0">
      <selection activeCell="H33" sqref="H33"/>
    </sheetView>
  </sheetViews>
  <sheetFormatPr defaultColWidth="8.5546875" defaultRowHeight="14.4" x14ac:dyDescent="0.3"/>
  <cols>
    <col min="1" max="1" width="17.21875" style="2" customWidth="1"/>
    <col min="2" max="2" width="32.21875" style="21" customWidth="1"/>
    <col min="3" max="3" width="8.5546875" style="2"/>
    <col min="4" max="4" width="20.6640625" style="30" customWidth="1"/>
    <col min="5" max="5" width="13.6640625" style="30" customWidth="1"/>
    <col min="6" max="6" width="18.21875" style="30" customWidth="1"/>
    <col min="7" max="7" width="6.33203125" customWidth="1"/>
    <col min="8" max="8" width="13.77734375" customWidth="1"/>
  </cols>
  <sheetData>
    <row r="1" spans="1:11" x14ac:dyDescent="0.3">
      <c r="A1" s="11" t="s">
        <v>0</v>
      </c>
      <c r="B1" s="11" t="s">
        <v>1</v>
      </c>
      <c r="C1" s="3" t="s">
        <v>2</v>
      </c>
      <c r="D1" s="11" t="s">
        <v>3</v>
      </c>
      <c r="E1" s="11" t="s">
        <v>4</v>
      </c>
      <c r="F1" s="22" t="s">
        <v>5</v>
      </c>
    </row>
    <row r="2" spans="1:11" x14ac:dyDescent="0.3">
      <c r="A2" s="33">
        <v>1</v>
      </c>
      <c r="B2" s="13" t="s">
        <v>6</v>
      </c>
      <c r="C2" s="4">
        <v>3</v>
      </c>
      <c r="D2" s="23">
        <v>3.5</v>
      </c>
      <c r="E2" s="23">
        <f t="shared" ref="E2:E18" si="0">C2*D2</f>
        <v>10.5</v>
      </c>
      <c r="F2" s="34">
        <f>(SUM(E2:E6))/(SUMIF(E2:E6,"&gt;0",C2:C6))</f>
        <v>3.25</v>
      </c>
      <c r="H2" s="1"/>
      <c r="I2" s="1"/>
      <c r="J2" s="1"/>
      <c r="K2" s="1"/>
    </row>
    <row r="3" spans="1:11" x14ac:dyDescent="0.3">
      <c r="A3" s="33"/>
      <c r="B3" s="13" t="s">
        <v>7</v>
      </c>
      <c r="C3" s="4">
        <v>2</v>
      </c>
      <c r="D3" s="23">
        <v>4</v>
      </c>
      <c r="E3" s="23">
        <f t="shared" si="0"/>
        <v>8</v>
      </c>
      <c r="F3" s="34"/>
      <c r="G3" s="1"/>
      <c r="H3" s="1"/>
      <c r="I3" s="1"/>
      <c r="J3" s="1"/>
      <c r="K3" s="1"/>
    </row>
    <row r="4" spans="1:11" x14ac:dyDescent="0.3">
      <c r="A4" s="33"/>
      <c r="B4" s="13" t="s">
        <v>25</v>
      </c>
      <c r="C4" s="4">
        <v>2</v>
      </c>
      <c r="D4" s="23">
        <v>4</v>
      </c>
      <c r="E4" s="23">
        <f t="shared" si="0"/>
        <v>8</v>
      </c>
      <c r="F4" s="34"/>
      <c r="G4" s="1"/>
      <c r="H4" s="1"/>
      <c r="I4" s="1"/>
      <c r="J4" s="1"/>
      <c r="K4" s="1"/>
    </row>
    <row r="5" spans="1:11" x14ac:dyDescent="0.3">
      <c r="A5" s="33"/>
      <c r="B5" s="13" t="s">
        <v>26</v>
      </c>
      <c r="C5" s="4">
        <v>2</v>
      </c>
      <c r="D5" s="23">
        <v>4</v>
      </c>
      <c r="E5" s="23">
        <f t="shared" si="0"/>
        <v>8</v>
      </c>
      <c r="F5" s="34"/>
      <c r="G5" s="1"/>
      <c r="H5" s="1"/>
      <c r="I5" s="1"/>
      <c r="J5" s="1"/>
      <c r="K5" s="1"/>
    </row>
    <row r="6" spans="1:11" x14ac:dyDescent="0.3">
      <c r="A6" s="33"/>
      <c r="B6" s="13" t="s">
        <v>8</v>
      </c>
      <c r="C6" s="4">
        <v>3</v>
      </c>
      <c r="D6" s="23">
        <v>1.5</v>
      </c>
      <c r="E6" s="23">
        <f t="shared" si="0"/>
        <v>4.5</v>
      </c>
      <c r="F6" s="34"/>
      <c r="G6" s="1"/>
      <c r="H6" s="52" t="s">
        <v>9</v>
      </c>
      <c r="I6" s="49">
        <f>(SUM(E2:E44))/(SUMIF(E2:E44,"&gt;0",C2:C44))</f>
        <v>3.5217391304347827</v>
      </c>
      <c r="J6" s="49"/>
      <c r="K6" s="49"/>
    </row>
    <row r="7" spans="1:11" x14ac:dyDescent="0.3">
      <c r="A7" s="50">
        <v>2</v>
      </c>
      <c r="B7" s="14" t="s">
        <v>14</v>
      </c>
      <c r="C7" s="5">
        <v>3</v>
      </c>
      <c r="D7" s="24">
        <v>4</v>
      </c>
      <c r="E7" s="24">
        <f t="shared" si="0"/>
        <v>12</v>
      </c>
      <c r="F7" s="51">
        <f>(SUM(E7:E11))/(SUMIF(E7:E11,"&gt;0",C7:C11))</f>
        <v>3.5384615384615383</v>
      </c>
      <c r="G7" s="1"/>
      <c r="H7" s="52"/>
      <c r="I7" s="49"/>
      <c r="J7" s="49"/>
      <c r="K7" s="49"/>
    </row>
    <row r="8" spans="1:11" x14ac:dyDescent="0.3">
      <c r="A8" s="50"/>
      <c r="B8" s="14" t="s">
        <v>27</v>
      </c>
      <c r="C8" s="5">
        <v>2</v>
      </c>
      <c r="D8" s="24">
        <v>4</v>
      </c>
      <c r="E8" s="24">
        <f t="shared" si="0"/>
        <v>8</v>
      </c>
      <c r="F8" s="51"/>
      <c r="G8" s="1"/>
      <c r="H8" s="52"/>
      <c r="I8" s="49"/>
      <c r="J8" s="49"/>
      <c r="K8" s="49"/>
    </row>
    <row r="9" spans="1:11" x14ac:dyDescent="0.3">
      <c r="A9" s="50"/>
      <c r="B9" s="14" t="s">
        <v>10</v>
      </c>
      <c r="C9" s="5">
        <v>2</v>
      </c>
      <c r="D9" s="24">
        <v>2.5</v>
      </c>
      <c r="E9" s="24">
        <f t="shared" si="0"/>
        <v>5</v>
      </c>
      <c r="F9" s="51"/>
      <c r="G9" s="1"/>
      <c r="H9" s="1"/>
      <c r="I9" s="1"/>
      <c r="J9" s="1"/>
      <c r="K9" s="1"/>
    </row>
    <row r="10" spans="1:11" x14ac:dyDescent="0.3">
      <c r="A10" s="50"/>
      <c r="B10" s="14" t="s">
        <v>28</v>
      </c>
      <c r="C10" s="5">
        <v>3</v>
      </c>
      <c r="D10" s="24">
        <v>4</v>
      </c>
      <c r="E10" s="24">
        <f t="shared" si="0"/>
        <v>12</v>
      </c>
      <c r="F10" s="51"/>
      <c r="G10" s="1"/>
      <c r="H10" s="1"/>
      <c r="I10" s="1"/>
      <c r="J10" s="1"/>
      <c r="K10" s="1"/>
    </row>
    <row r="11" spans="1:11" x14ac:dyDescent="0.3">
      <c r="A11" s="50"/>
      <c r="B11" s="14" t="s">
        <v>11</v>
      </c>
      <c r="C11" s="5">
        <v>3</v>
      </c>
      <c r="D11" s="24">
        <v>3</v>
      </c>
      <c r="E11" s="24">
        <f t="shared" si="0"/>
        <v>9</v>
      </c>
      <c r="F11" s="51"/>
      <c r="G11" s="1"/>
      <c r="H11" s="52" t="s">
        <v>36</v>
      </c>
      <c r="I11" s="52"/>
      <c r="J11" s="52"/>
      <c r="K11" s="52"/>
    </row>
    <row r="12" spans="1:11" x14ac:dyDescent="0.3">
      <c r="A12" s="53">
        <v>3</v>
      </c>
      <c r="B12" s="15" t="s">
        <v>29</v>
      </c>
      <c r="C12" s="6">
        <v>3</v>
      </c>
      <c r="D12" s="25">
        <v>4</v>
      </c>
      <c r="E12" s="25">
        <f t="shared" si="0"/>
        <v>12</v>
      </c>
      <c r="F12" s="56">
        <f>(SUM(E12:E17))/(SUMIF(E12:E17,"&gt;0",C12:C17))</f>
        <v>3.4444444444444446</v>
      </c>
      <c r="H12" s="52"/>
      <c r="I12" s="52"/>
      <c r="J12" s="52"/>
      <c r="K12" s="52"/>
    </row>
    <row r="13" spans="1:11" x14ac:dyDescent="0.3">
      <c r="A13" s="54"/>
      <c r="B13" s="15" t="s">
        <v>12</v>
      </c>
      <c r="C13" s="6">
        <v>2</v>
      </c>
      <c r="D13" s="25">
        <v>2</v>
      </c>
      <c r="E13" s="25">
        <f t="shared" si="0"/>
        <v>4</v>
      </c>
      <c r="F13" s="57"/>
      <c r="H13" s="52"/>
      <c r="I13" s="52"/>
      <c r="J13" s="52"/>
      <c r="K13" s="52"/>
    </row>
    <row r="14" spans="1:11" x14ac:dyDescent="0.3">
      <c r="A14" s="54"/>
      <c r="B14" s="15" t="s">
        <v>30</v>
      </c>
      <c r="C14" s="6">
        <v>4</v>
      </c>
      <c r="D14" s="25">
        <v>4</v>
      </c>
      <c r="E14" s="25">
        <f t="shared" si="0"/>
        <v>16</v>
      </c>
      <c r="F14" s="57"/>
      <c r="H14" s="52"/>
      <c r="I14" s="52"/>
      <c r="J14" s="52"/>
      <c r="K14" s="52"/>
    </row>
    <row r="15" spans="1:11" x14ac:dyDescent="0.3">
      <c r="A15" s="54"/>
      <c r="B15" s="15" t="s">
        <v>13</v>
      </c>
      <c r="C15" s="6">
        <v>3</v>
      </c>
      <c r="D15" s="25">
        <v>3.5</v>
      </c>
      <c r="E15" s="25">
        <f t="shared" si="0"/>
        <v>10.5</v>
      </c>
      <c r="F15" s="57"/>
      <c r="H15" s="52"/>
      <c r="I15" s="52"/>
      <c r="J15" s="52"/>
      <c r="K15" s="52"/>
    </row>
    <row r="16" spans="1:11" x14ac:dyDescent="0.3">
      <c r="A16" s="54"/>
      <c r="B16" s="15" t="s">
        <v>31</v>
      </c>
      <c r="C16" s="6">
        <v>3</v>
      </c>
      <c r="D16" s="25">
        <v>4</v>
      </c>
      <c r="E16" s="25">
        <f t="shared" si="0"/>
        <v>12</v>
      </c>
      <c r="F16" s="57"/>
    </row>
    <row r="17" spans="1:6" x14ac:dyDescent="0.3">
      <c r="A17" s="55"/>
      <c r="B17" s="15" t="s">
        <v>32</v>
      </c>
      <c r="C17" s="6">
        <v>3</v>
      </c>
      <c r="D17" s="25">
        <v>2.5</v>
      </c>
      <c r="E17" s="25">
        <f t="shared" si="0"/>
        <v>7.5</v>
      </c>
      <c r="F17" s="58"/>
    </row>
    <row r="18" spans="1:6" x14ac:dyDescent="0.3">
      <c r="A18" s="36">
        <v>4</v>
      </c>
      <c r="B18" s="16" t="s">
        <v>33</v>
      </c>
      <c r="C18" s="7">
        <v>3</v>
      </c>
      <c r="D18" s="26">
        <v>4</v>
      </c>
      <c r="E18" s="26">
        <f t="shared" si="0"/>
        <v>12</v>
      </c>
      <c r="F18" s="39">
        <f>(SUM(E18:E25))/(SUMIF(E18:E25,"&gt;0",C18:C25))</f>
        <v>3.8043478260869565</v>
      </c>
    </row>
    <row r="19" spans="1:6" x14ac:dyDescent="0.3">
      <c r="A19" s="37"/>
      <c r="B19" s="16" t="s">
        <v>18</v>
      </c>
      <c r="C19" s="7">
        <v>3</v>
      </c>
      <c r="D19" s="26">
        <v>4</v>
      </c>
      <c r="E19" s="26">
        <f t="shared" ref="E19:E44" si="1">C19*D19</f>
        <v>12</v>
      </c>
      <c r="F19" s="39"/>
    </row>
    <row r="20" spans="1:6" x14ac:dyDescent="0.3">
      <c r="A20" s="37"/>
      <c r="B20" s="16" t="s">
        <v>34</v>
      </c>
      <c r="C20" s="7">
        <v>3</v>
      </c>
      <c r="D20" s="26">
        <v>4</v>
      </c>
      <c r="E20" s="26">
        <f t="shared" si="1"/>
        <v>12</v>
      </c>
      <c r="F20" s="39"/>
    </row>
    <row r="21" spans="1:6" x14ac:dyDescent="0.3">
      <c r="A21" s="37"/>
      <c r="B21" s="16" t="s">
        <v>15</v>
      </c>
      <c r="C21" s="7">
        <v>3</v>
      </c>
      <c r="D21" s="26">
        <v>4</v>
      </c>
      <c r="E21" s="26">
        <f t="shared" si="1"/>
        <v>12</v>
      </c>
      <c r="F21" s="39"/>
    </row>
    <row r="22" spans="1:6" x14ac:dyDescent="0.3">
      <c r="A22" s="37"/>
      <c r="B22" s="16" t="s">
        <v>19</v>
      </c>
      <c r="C22" s="7">
        <v>3</v>
      </c>
      <c r="D22" s="26">
        <v>3.5</v>
      </c>
      <c r="E22" s="26">
        <f t="shared" si="1"/>
        <v>10.5</v>
      </c>
      <c r="F22" s="39"/>
    </row>
    <row r="23" spans="1:6" x14ac:dyDescent="0.3">
      <c r="A23" s="37"/>
      <c r="B23" s="16" t="s">
        <v>16</v>
      </c>
      <c r="C23" s="7">
        <v>3</v>
      </c>
      <c r="D23" s="26">
        <v>4</v>
      </c>
      <c r="E23" s="26">
        <f t="shared" si="1"/>
        <v>12</v>
      </c>
      <c r="F23" s="39"/>
    </row>
    <row r="24" spans="1:6" x14ac:dyDescent="0.3">
      <c r="A24" s="37"/>
      <c r="B24" s="16" t="s">
        <v>35</v>
      </c>
      <c r="C24" s="7">
        <v>3</v>
      </c>
      <c r="D24" s="26">
        <v>3</v>
      </c>
      <c r="E24" s="26">
        <f t="shared" si="1"/>
        <v>9</v>
      </c>
      <c r="F24" s="39"/>
    </row>
    <row r="25" spans="1:6" x14ac:dyDescent="0.3">
      <c r="A25" s="38"/>
      <c r="B25" s="16" t="s">
        <v>17</v>
      </c>
      <c r="C25" s="7">
        <v>2</v>
      </c>
      <c r="D25" s="26">
        <v>4</v>
      </c>
      <c r="E25" s="26">
        <f t="shared" si="1"/>
        <v>8</v>
      </c>
      <c r="F25" s="39"/>
    </row>
    <row r="26" spans="1:6" x14ac:dyDescent="0.3">
      <c r="A26" s="42">
        <v>5</v>
      </c>
      <c r="B26" s="17" t="s">
        <v>20</v>
      </c>
      <c r="C26" s="8">
        <v>3</v>
      </c>
      <c r="D26" s="27">
        <v>3.5</v>
      </c>
      <c r="E26" s="27">
        <f t="shared" si="1"/>
        <v>10.5</v>
      </c>
      <c r="F26" s="44">
        <f>(SUM(E26:E34))/(SUMIF(E26:E34,"&gt;0",C26:C34))</f>
        <v>3.4423076923076925</v>
      </c>
    </row>
    <row r="27" spans="1:6" x14ac:dyDescent="0.3">
      <c r="A27" s="43"/>
      <c r="B27" s="17" t="s">
        <v>38</v>
      </c>
      <c r="C27" s="8">
        <v>3</v>
      </c>
      <c r="D27" s="27">
        <v>3.5</v>
      </c>
      <c r="E27" s="27">
        <f t="shared" si="1"/>
        <v>10.5</v>
      </c>
      <c r="F27" s="44"/>
    </row>
    <row r="28" spans="1:6" x14ac:dyDescent="0.3">
      <c r="A28" s="43"/>
      <c r="B28" s="17" t="s">
        <v>37</v>
      </c>
      <c r="C28" s="8">
        <v>3</v>
      </c>
      <c r="D28" s="27">
        <v>3.5</v>
      </c>
      <c r="E28" s="27">
        <f t="shared" si="1"/>
        <v>10.5</v>
      </c>
      <c r="F28" s="44"/>
    </row>
    <row r="29" spans="1:6" x14ac:dyDescent="0.3">
      <c r="A29" s="43"/>
      <c r="B29" s="17" t="s">
        <v>39</v>
      </c>
      <c r="C29" s="8">
        <v>3</v>
      </c>
      <c r="D29" s="27">
        <v>3.5</v>
      </c>
      <c r="E29" s="27">
        <f t="shared" si="1"/>
        <v>10.5</v>
      </c>
      <c r="F29" s="44"/>
    </row>
    <row r="30" spans="1:6" x14ac:dyDescent="0.3">
      <c r="A30" s="43"/>
      <c r="B30" s="17" t="s">
        <v>21</v>
      </c>
      <c r="C30" s="8">
        <v>3</v>
      </c>
      <c r="D30" s="27">
        <v>4</v>
      </c>
      <c r="E30" s="27">
        <f t="shared" si="1"/>
        <v>12</v>
      </c>
      <c r="F30" s="44"/>
    </row>
    <row r="31" spans="1:6" x14ac:dyDescent="0.3">
      <c r="A31" s="43"/>
      <c r="B31" s="17" t="s">
        <v>40</v>
      </c>
      <c r="C31" s="8">
        <v>3</v>
      </c>
      <c r="D31" s="27">
        <v>3</v>
      </c>
      <c r="E31" s="27">
        <f t="shared" si="1"/>
        <v>9</v>
      </c>
      <c r="F31" s="44"/>
    </row>
    <row r="32" spans="1:6" x14ac:dyDescent="0.3">
      <c r="A32" s="43"/>
      <c r="B32" s="17" t="s">
        <v>42</v>
      </c>
      <c r="C32" s="8">
        <v>2</v>
      </c>
      <c r="D32" s="27">
        <v>2</v>
      </c>
      <c r="E32" s="27">
        <f t="shared" si="1"/>
        <v>4</v>
      </c>
      <c r="F32" s="44"/>
    </row>
    <row r="33" spans="1:6" x14ac:dyDescent="0.3">
      <c r="A33" s="43"/>
      <c r="B33" s="17" t="s">
        <v>45</v>
      </c>
      <c r="C33" s="8">
        <v>3</v>
      </c>
      <c r="D33" s="27">
        <v>3.5</v>
      </c>
      <c r="E33" s="27">
        <f t="shared" si="1"/>
        <v>10.5</v>
      </c>
      <c r="F33" s="44"/>
    </row>
    <row r="34" spans="1:6" x14ac:dyDescent="0.3">
      <c r="A34" s="43"/>
      <c r="B34" s="17" t="s">
        <v>44</v>
      </c>
      <c r="C34" s="8">
        <v>3</v>
      </c>
      <c r="D34" s="27">
        <v>4</v>
      </c>
      <c r="E34" s="27">
        <f t="shared" si="1"/>
        <v>12</v>
      </c>
      <c r="F34" s="44"/>
    </row>
    <row r="35" spans="1:6" x14ac:dyDescent="0.3">
      <c r="A35" s="45">
        <v>6</v>
      </c>
      <c r="B35" s="18" t="s">
        <v>41</v>
      </c>
      <c r="C35" s="9">
        <v>3</v>
      </c>
      <c r="D35" s="12">
        <v>0</v>
      </c>
      <c r="E35" s="12">
        <f t="shared" si="1"/>
        <v>0</v>
      </c>
      <c r="F35" s="48" t="e">
        <f>(SUM(E35:E42))/(SUMIF(E35:E42,"&gt;0",C35:C42))</f>
        <v>#DIV/0!</v>
      </c>
    </row>
    <row r="36" spans="1:6" x14ac:dyDescent="0.3">
      <c r="A36" s="46"/>
      <c r="B36" s="18" t="s">
        <v>48</v>
      </c>
      <c r="C36" s="9">
        <v>3</v>
      </c>
      <c r="D36" s="12">
        <v>0</v>
      </c>
      <c r="E36" s="12">
        <f t="shared" si="1"/>
        <v>0</v>
      </c>
      <c r="F36" s="48"/>
    </row>
    <row r="37" spans="1:6" x14ac:dyDescent="0.3">
      <c r="A37" s="46"/>
      <c r="B37" s="18" t="s">
        <v>43</v>
      </c>
      <c r="C37" s="9">
        <v>2</v>
      </c>
      <c r="D37" s="12">
        <v>0</v>
      </c>
      <c r="E37" s="12">
        <f t="shared" si="1"/>
        <v>0</v>
      </c>
      <c r="F37" s="48"/>
    </row>
    <row r="38" spans="1:6" x14ac:dyDescent="0.3">
      <c r="A38" s="46"/>
      <c r="B38" s="18" t="s">
        <v>47</v>
      </c>
      <c r="C38" s="9">
        <v>3</v>
      </c>
      <c r="D38" s="12">
        <v>0</v>
      </c>
      <c r="E38" s="12">
        <f t="shared" si="1"/>
        <v>0</v>
      </c>
      <c r="F38" s="48"/>
    </row>
    <row r="39" spans="1:6" x14ac:dyDescent="0.3">
      <c r="A39" s="46"/>
      <c r="B39" s="18" t="s">
        <v>46</v>
      </c>
      <c r="C39" s="9">
        <v>3</v>
      </c>
      <c r="D39" s="12">
        <v>0</v>
      </c>
      <c r="E39" s="12">
        <f t="shared" si="1"/>
        <v>0</v>
      </c>
      <c r="F39" s="48"/>
    </row>
    <row r="40" spans="1:6" x14ac:dyDescent="0.3">
      <c r="A40" s="46"/>
      <c r="B40" s="18" t="s">
        <v>49</v>
      </c>
      <c r="C40" s="9">
        <v>3</v>
      </c>
      <c r="D40" s="12">
        <v>0</v>
      </c>
      <c r="E40" s="12">
        <f t="shared" si="1"/>
        <v>0</v>
      </c>
      <c r="F40" s="48"/>
    </row>
    <row r="41" spans="1:6" x14ac:dyDescent="0.3">
      <c r="A41" s="46"/>
      <c r="B41" s="19" t="s">
        <v>50</v>
      </c>
      <c r="C41" s="9">
        <v>3</v>
      </c>
      <c r="D41" s="12">
        <v>0</v>
      </c>
      <c r="E41" s="12">
        <f t="shared" si="1"/>
        <v>0</v>
      </c>
      <c r="F41" s="48"/>
    </row>
    <row r="42" spans="1:6" x14ac:dyDescent="0.3">
      <c r="A42" s="47"/>
      <c r="B42" s="19" t="s">
        <v>22</v>
      </c>
      <c r="C42" s="9">
        <v>3</v>
      </c>
      <c r="D42" s="12">
        <v>0</v>
      </c>
      <c r="E42" s="12">
        <f t="shared" si="1"/>
        <v>0</v>
      </c>
      <c r="F42" s="48"/>
    </row>
    <row r="43" spans="1:6" x14ac:dyDescent="0.3">
      <c r="A43" s="40">
        <v>7</v>
      </c>
      <c r="B43" s="20" t="s">
        <v>23</v>
      </c>
      <c r="C43" s="10">
        <v>3</v>
      </c>
      <c r="D43" s="28">
        <v>0</v>
      </c>
      <c r="E43" s="29">
        <f t="shared" si="1"/>
        <v>0</v>
      </c>
      <c r="F43" s="35" t="e">
        <f>(SUM(E43:E44))/(SUMIF(E43:E44,"&gt;0",C43:C44))</f>
        <v>#DIV/0!</v>
      </c>
    </row>
    <row r="44" spans="1:6" x14ac:dyDescent="0.3">
      <c r="A44" s="41"/>
      <c r="B44" s="20" t="s">
        <v>24</v>
      </c>
      <c r="C44" s="10">
        <v>9</v>
      </c>
      <c r="D44" s="28">
        <v>0</v>
      </c>
      <c r="E44" s="29">
        <f t="shared" si="1"/>
        <v>0</v>
      </c>
      <c r="F44" s="35"/>
    </row>
    <row r="45" spans="1:6" x14ac:dyDescent="0.3">
      <c r="A45" s="31" t="s">
        <v>51</v>
      </c>
      <c r="B45" s="31"/>
      <c r="C45" s="2">
        <f>SUM(C2:C44)</f>
        <v>127</v>
      </c>
    </row>
    <row r="46" spans="1:6" x14ac:dyDescent="0.3">
      <c r="A46" s="32" t="s">
        <v>52</v>
      </c>
      <c r="B46" s="32"/>
      <c r="C46" s="2">
        <f>SUM(C42:C44)</f>
        <v>15</v>
      </c>
    </row>
  </sheetData>
  <mergeCells count="19">
    <mergeCell ref="I6:K8"/>
    <mergeCell ref="A7:A11"/>
    <mergeCell ref="F7:F11"/>
    <mergeCell ref="H11:K15"/>
    <mergeCell ref="A12:A17"/>
    <mergeCell ref="F12:F17"/>
    <mergeCell ref="H6:H8"/>
    <mergeCell ref="A45:B45"/>
    <mergeCell ref="A46:B46"/>
    <mergeCell ref="A2:A6"/>
    <mergeCell ref="F2:F6"/>
    <mergeCell ref="F43:F44"/>
    <mergeCell ref="A18:A25"/>
    <mergeCell ref="F18:F25"/>
    <mergeCell ref="A43:A44"/>
    <mergeCell ref="A26:A34"/>
    <mergeCell ref="F26:F34"/>
    <mergeCell ref="A35:A42"/>
    <mergeCell ref="F35:F42"/>
  </mergeCells>
  <phoneticPr fontId="1" type="noConversion"/>
  <conditionalFormatting sqref="I6:K8">
    <cfRule type="cellIs" dxfId="1" priority="2" operator="lessThan">
      <formula>3.2</formula>
    </cfRule>
    <cfRule type="cellIs" dxfId="0" priority="3" operator="greaterThanOrEqual">
      <formula>3.2</formula>
    </cfRule>
  </conditionalFormatting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T460K</dc:creator>
  <dc:description/>
  <cp:lastModifiedBy>LENOVO</cp:lastModifiedBy>
  <cp:revision>5</cp:revision>
  <dcterms:created xsi:type="dcterms:W3CDTF">2022-12-31T16:24:25Z</dcterms:created>
  <dcterms:modified xsi:type="dcterms:W3CDTF">2026-01-06T03:11:25Z</dcterms:modified>
  <dc:language>en-US</dc:language>
</cp:coreProperties>
</file>